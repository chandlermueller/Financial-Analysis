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lermueller34/Downloads/"/>
    </mc:Choice>
  </mc:AlternateContent>
  <xr:revisionPtr revIDLastSave="0" documentId="8_{0B5DDE39-F97E-1F4B-8F60-9FC3EB53E00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Nike Data" sheetId="1" r:id="rId1"/>
    <sheet name="Lulu Data" sheetId="2" r:id="rId2"/>
    <sheet name="Ratio Dashbaord" sheetId="3" r:id="rId3"/>
    <sheet name="Char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/>
  <c r="H6" i="3"/>
  <c r="G6" i="3"/>
  <c r="G5" i="3"/>
  <c r="H5" i="3"/>
  <c r="G4" i="3"/>
  <c r="H4" i="3"/>
  <c r="G3" i="3"/>
  <c r="H3" i="3"/>
  <c r="G2" i="3"/>
  <c r="H2" i="3"/>
  <c r="F6" i="3"/>
  <c r="F5" i="3"/>
  <c r="F4" i="3"/>
  <c r="F3" i="3"/>
  <c r="F2" i="3"/>
  <c r="E6" i="3"/>
  <c r="D6" i="3"/>
  <c r="D5" i="3"/>
  <c r="E5" i="3"/>
  <c r="D4" i="3"/>
  <c r="E4" i="3"/>
  <c r="D3" i="3"/>
  <c r="E3" i="3"/>
  <c r="D2" i="3"/>
  <c r="E2" i="3"/>
  <c r="C6" i="3"/>
  <c r="C5" i="3"/>
  <c r="C4" i="3"/>
  <c r="C3" i="3"/>
</calcChain>
</file>

<file path=xl/sharedStrings.xml><?xml version="1.0" encoding="utf-8"?>
<sst xmlns="http://schemas.openxmlformats.org/spreadsheetml/2006/main" count="47" uniqueCount="33">
  <si>
    <t>($ in millions)</t>
  </si>
  <si>
    <t>FY 2025</t>
  </si>
  <si>
    <t>FY 2024</t>
  </si>
  <si>
    <t>FY 2023</t>
  </si>
  <si>
    <t>Revenues</t>
  </si>
  <si>
    <t>Cost of Revenue</t>
  </si>
  <si>
    <t>Gross Profit</t>
  </si>
  <si>
    <t>Operating Income</t>
  </si>
  <si>
    <t>Net Income</t>
  </si>
  <si>
    <t>Interest Expense</t>
  </si>
  <si>
    <t>Total Current Assets</t>
  </si>
  <si>
    <t>Total Assets</t>
  </si>
  <si>
    <t>Total Current Liabilities</t>
  </si>
  <si>
    <t>Total Liabilities</t>
  </si>
  <si>
    <t>Total Shareholders' Equity</t>
  </si>
  <si>
    <t>($ in thousands)</t>
  </si>
  <si>
    <t>Category</t>
  </si>
  <si>
    <t>Ratio</t>
  </si>
  <si>
    <t>Nike FY2025</t>
  </si>
  <si>
    <t>Nike FY2024</t>
  </si>
  <si>
    <t>Nike FY2023</t>
  </si>
  <si>
    <t>Lululemon FY2025</t>
  </si>
  <si>
    <t>Lululemon FY2024</t>
  </si>
  <si>
    <t>Lululemon FY2023</t>
  </si>
  <si>
    <t>Liquidity</t>
  </si>
  <si>
    <t>Current Ratio</t>
  </si>
  <si>
    <t>Profitability</t>
  </si>
  <si>
    <t>Gross Profit Margin</t>
  </si>
  <si>
    <t>Return on Equity (ROE)</t>
  </si>
  <si>
    <t>Solvency</t>
  </si>
  <si>
    <t>Debt-to-Equity</t>
  </si>
  <si>
    <t>Efficiency</t>
  </si>
  <si>
    <t>Asset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</si>
</sst>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0\x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0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Gross Profit Margin Comparison</a:t>
            </a:r>
          </a:p>
        </c:rich>
      </c:tx>
      <c:layout>
        <c:manualLayout>
          <c:xMode val="edge"/>
          <c:yMode val="edge"/>
          <c:x val="0.24305385139740968"/>
          <c:y val="4.0740740740740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LULU</c:v>
          </c:tx>
          <c:spPr>
            <a:ln w="285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'Nike Data'!$B$1:$D$1</c:f>
              <c:strCache>
                <c:ptCount val="3"/>
                <c:pt idx="0">
                  <c:v>FY 2025</c:v>
                </c:pt>
                <c:pt idx="1">
                  <c:v>FY 2024</c:v>
                </c:pt>
                <c:pt idx="2">
                  <c:v>FY 2023</c:v>
                </c:pt>
              </c:strCache>
            </c:strRef>
          </c:cat>
          <c:val>
            <c:numRef>
              <c:f>'Ratio Dashbaord'!$F$3:$H$3</c:f>
              <c:numCache>
                <c:formatCode>0.00%</c:formatCode>
                <c:ptCount val="3"/>
                <c:pt idx="0">
                  <c:v>0.56600544016716803</c:v>
                </c:pt>
                <c:pt idx="1">
                  <c:v>0.59224937444076509</c:v>
                </c:pt>
                <c:pt idx="2">
                  <c:v>0.58314199880697903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5-4690-ABF4-1885277FB6AD}"/>
            </c:ext>
          </c:extLst>
        </c:ser>
        <c:ser>
          <c:idx val="1"/>
          <c:order val="1"/>
          <c:tx>
            <c:v>NIKE</c:v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'Nike Data'!$B$1:$D$1</c:f>
              <c:strCache>
                <c:ptCount val="3"/>
                <c:pt idx="0">
                  <c:v>FY 2025</c:v>
                </c:pt>
                <c:pt idx="1">
                  <c:v>FY 2024</c:v>
                </c:pt>
                <c:pt idx="2">
                  <c:v>FY 2023</c:v>
                </c:pt>
              </c:strCache>
            </c:strRef>
          </c:cat>
          <c:val>
            <c:numRef>
              <c:f>'Ratio Dashbaord'!$C$3:$E$3</c:f>
              <c:numCache>
                <c:formatCode>0.00%</c:formatCode>
                <c:ptCount val="3"/>
                <c:pt idx="0">
                  <c:v>0.42734673605562634</c:v>
                </c:pt>
                <c:pt idx="1">
                  <c:v>0.44560180678322497</c:v>
                </c:pt>
                <c:pt idx="2">
                  <c:v>0.43524610969014194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5-4690-ABF4-1885277FB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97703"/>
        <c:axId val="77620231"/>
      </c:lineChart>
      <c:catAx>
        <c:axId val="77597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620231"/>
        <c:crosses val="autoZero"/>
        <c:auto val="1"/>
        <c:lblAlgn val="ctr"/>
        <c:lblOffset val="100"/>
        <c:noMultiLvlLbl val="0"/>
      </c:catAx>
      <c:valAx>
        <c:axId val="77620231"/>
        <c:scaling>
          <c:orientation val="minMax"/>
          <c:max val="0.6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7703"/>
        <c:crosses val="autoZero"/>
        <c:crossBetween val="between"/>
        <c:majorUnit val="0.05"/>
        <c:minorUnit val="1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ROE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Dashbaord'!$B$4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'Nike Data'!$B$1:$D$1</c:f>
              <c:strCache>
                <c:ptCount val="3"/>
                <c:pt idx="0">
                  <c:v>FY 2025</c:v>
                </c:pt>
                <c:pt idx="1">
                  <c:v>FY 2024</c:v>
                </c:pt>
                <c:pt idx="2">
                  <c:v>FY 2023</c:v>
                </c:pt>
              </c:strCache>
            </c:strRef>
          </c:cat>
          <c:val>
            <c:numRef>
              <c:f>'Ratio Dashbaord'!$C$4:$E$4</c:f>
              <c:numCache>
                <c:formatCode>0.00%</c:formatCode>
                <c:ptCount val="3"/>
                <c:pt idx="0">
                  <c:v>0.24362370392794974</c:v>
                </c:pt>
                <c:pt idx="1">
                  <c:v>0.39501039501039503</c:v>
                </c:pt>
                <c:pt idx="2">
                  <c:v>0.36203941730934019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1-43CC-B987-73B2A92A5F52}"/>
            </c:ext>
          </c:extLst>
        </c:ser>
        <c:ser>
          <c:idx val="1"/>
          <c:order val="1"/>
          <c:tx>
            <c:strRef>
              <c:f>'Ratio Dashbaord'!$B$4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'Nike Data'!$B$1:$D$1</c:f>
              <c:strCache>
                <c:ptCount val="3"/>
                <c:pt idx="0">
                  <c:v>FY 2025</c:v>
                </c:pt>
                <c:pt idx="1">
                  <c:v>FY 2024</c:v>
                </c:pt>
                <c:pt idx="2">
                  <c:v>FY 2023</c:v>
                </c:pt>
              </c:strCache>
            </c:strRef>
          </c:cat>
          <c:val>
            <c:numRef>
              <c:f>'Ratio Dashbaord'!$F$4:$H$4</c:f>
              <c:numCache>
                <c:formatCode>0.00%</c:formatCode>
                <c:ptCount val="3"/>
                <c:pt idx="0">
                  <c:v>0.31826560308272739</c:v>
                </c:pt>
                <c:pt idx="1">
                  <c:v>0.41965686311920292</c:v>
                </c:pt>
                <c:pt idx="2">
                  <c:v>0.36629497403286942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1-43CC-B987-73B2A92A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27911"/>
        <c:axId val="77654535"/>
      </c:barChart>
      <c:catAx>
        <c:axId val="7762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4535"/>
        <c:crosses val="autoZero"/>
        <c:auto val="1"/>
        <c:lblAlgn val="ctr"/>
        <c:lblOffset val="100"/>
        <c:noMultiLvlLbl val="0"/>
      </c:catAx>
      <c:valAx>
        <c:axId val="77654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133350</xdr:colOff>
      <xdr:row>16</xdr:row>
      <xdr:rowOff>19050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A8BA3D-5BFC-4E01-8D71-27E490B22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0</xdr:row>
      <xdr:rowOff>0</xdr:rowOff>
    </xdr:from>
    <xdr:to>
      <xdr:col>18</xdr:col>
      <xdr:colOff>123825</xdr:colOff>
      <xdr:row>16</xdr:row>
      <xdr:rowOff>114300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FC9D3DA-8067-47EF-97C7-1651744084E6}"/>
            </a:ext>
            <a:ext uri="{147F2762-F138-4A5C-976F-8EAC2B608ADB}">
              <a16:predDERef xmlns:a16="http://schemas.microsoft.com/office/drawing/2014/main" pred="{B8A8BA3D-5BFC-4E01-8D71-27E490B22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D40"/>
  <sheetViews>
    <sheetView tabSelected="1" workbookViewId="0">
      <selection activeCell="D4" sqref="D4"/>
    </sheetView>
  </sheetViews>
  <sheetFormatPr baseColWidth="10" defaultColWidth="9.1640625" defaultRowHeight="14" x14ac:dyDescent="0.15"/>
  <cols>
    <col min="1" max="1" width="25.33203125" style="4" customWidth="1"/>
    <col min="2" max="16384" width="9.1640625" style="4"/>
  </cols>
  <sheetData>
    <row r="1" spans="1:4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0.25" customHeight="1" x14ac:dyDescent="0.15">
      <c r="A2" s="2" t="s">
        <v>4</v>
      </c>
      <c r="B2" s="5">
        <v>46309</v>
      </c>
      <c r="C2" s="5">
        <v>51362</v>
      </c>
      <c r="D2" s="5">
        <v>51217</v>
      </c>
    </row>
    <row r="3" spans="1:4" ht="20.25" customHeight="1" x14ac:dyDescent="0.15">
      <c r="A3" s="2" t="s">
        <v>5</v>
      </c>
      <c r="B3" s="5">
        <v>26519</v>
      </c>
      <c r="C3" s="5">
        <v>28475</v>
      </c>
      <c r="D3" s="5">
        <v>28925</v>
      </c>
    </row>
    <row r="4" spans="1:4" ht="20.25" customHeight="1" x14ac:dyDescent="0.15">
      <c r="A4" s="2" t="s">
        <v>6</v>
      </c>
      <c r="B4" s="5">
        <v>19790</v>
      </c>
      <c r="C4" s="5">
        <v>22887</v>
      </c>
      <c r="D4" s="5">
        <v>22292</v>
      </c>
    </row>
    <row r="5" spans="1:4" ht="20.25" customHeight="1" x14ac:dyDescent="0.15">
      <c r="A5" s="2" t="s">
        <v>7</v>
      </c>
      <c r="B5" s="5">
        <v>3885</v>
      </c>
      <c r="C5" s="5">
        <v>6700</v>
      </c>
      <c r="D5" s="5">
        <v>5915</v>
      </c>
    </row>
    <row r="6" spans="1:4" ht="20.25" customHeight="1" x14ac:dyDescent="0.15">
      <c r="A6" s="2" t="s">
        <v>8</v>
      </c>
      <c r="B6" s="5">
        <v>3219</v>
      </c>
      <c r="C6" s="5">
        <v>5700</v>
      </c>
      <c r="D6" s="5">
        <v>5070</v>
      </c>
    </row>
    <row r="7" spans="1:4" ht="20.25" customHeight="1" x14ac:dyDescent="0.15">
      <c r="A7" s="2" t="s">
        <v>9</v>
      </c>
      <c r="B7" s="5">
        <v>107</v>
      </c>
      <c r="C7" s="5">
        <v>161</v>
      </c>
      <c r="D7" s="5">
        <v>6</v>
      </c>
    </row>
    <row r="8" spans="1:4" ht="20.25" customHeight="1" x14ac:dyDescent="0.15">
      <c r="A8" s="2" t="s">
        <v>10</v>
      </c>
      <c r="B8" s="5">
        <v>23362</v>
      </c>
      <c r="C8" s="5">
        <v>25382</v>
      </c>
      <c r="D8" s="5">
        <v>25202</v>
      </c>
    </row>
    <row r="9" spans="1:4" ht="20.25" customHeight="1" x14ac:dyDescent="0.15">
      <c r="A9" s="2" t="s">
        <v>11</v>
      </c>
      <c r="B9" s="5">
        <v>36579</v>
      </c>
      <c r="C9" s="5">
        <v>37531</v>
      </c>
      <c r="D9" s="5">
        <v>37531</v>
      </c>
    </row>
    <row r="10" spans="1:4" ht="20.25" customHeight="1" x14ac:dyDescent="0.15">
      <c r="A10" s="2" t="s">
        <v>12</v>
      </c>
      <c r="B10" s="5">
        <v>10566</v>
      </c>
      <c r="C10" s="5">
        <v>10593</v>
      </c>
      <c r="D10" s="5">
        <v>9256</v>
      </c>
    </row>
    <row r="11" spans="1:4" ht="20.25" customHeight="1" x14ac:dyDescent="0.15">
      <c r="A11" s="4" t="s">
        <v>13</v>
      </c>
      <c r="B11" s="5">
        <v>23366</v>
      </c>
      <c r="C11" s="5">
        <v>23860</v>
      </c>
      <c r="D11" s="5">
        <v>23527</v>
      </c>
    </row>
    <row r="12" spans="1:4" ht="20.25" customHeight="1" x14ac:dyDescent="0.15">
      <c r="A12" s="2" t="s">
        <v>14</v>
      </c>
      <c r="B12" s="5">
        <v>13213</v>
      </c>
      <c r="C12" s="5">
        <v>14430</v>
      </c>
      <c r="D12" s="5">
        <v>14004</v>
      </c>
    </row>
    <row r="13" spans="1:4" ht="20.25" customHeight="1" x14ac:dyDescent="0.15">
      <c r="B13" s="3"/>
      <c r="C13" s="3"/>
    </row>
    <row r="14" spans="1:4" ht="20.25" customHeight="1" x14ac:dyDescent="0.15"/>
    <row r="15" spans="1:4" ht="20.25" customHeight="1" x14ac:dyDescent="0.15"/>
    <row r="16" spans="1:4" ht="20.25" customHeight="1" x14ac:dyDescent="0.15"/>
    <row r="17" ht="20.25" customHeight="1" x14ac:dyDescent="0.15"/>
    <row r="18" ht="20.25" customHeight="1" x14ac:dyDescent="0.15"/>
    <row r="19" ht="20.25" customHeight="1" x14ac:dyDescent="0.15"/>
    <row r="20" ht="20.25" customHeight="1" x14ac:dyDescent="0.15"/>
    <row r="21" ht="20.25" customHeight="1" x14ac:dyDescent="0.15"/>
    <row r="22" ht="20.25" customHeight="1" x14ac:dyDescent="0.15"/>
    <row r="23" ht="20.25" customHeight="1" x14ac:dyDescent="0.15"/>
    <row r="24" ht="20.25" customHeight="1" x14ac:dyDescent="0.15"/>
    <row r="25" ht="20.25" customHeight="1" x14ac:dyDescent="0.15"/>
    <row r="26" ht="20.25" customHeight="1" x14ac:dyDescent="0.15"/>
    <row r="27" ht="20.25" customHeight="1" x14ac:dyDescent="0.15"/>
    <row r="28" ht="20.25" customHeight="1" x14ac:dyDescent="0.15"/>
    <row r="29" ht="20.25" customHeight="1" x14ac:dyDescent="0.15"/>
    <row r="30" ht="20.25" customHeight="1" x14ac:dyDescent="0.15"/>
    <row r="31" ht="20.25" customHeight="1" x14ac:dyDescent="0.15"/>
    <row r="32" ht="20.25" customHeight="1" x14ac:dyDescent="0.15"/>
    <row r="33" ht="20.25" customHeight="1" x14ac:dyDescent="0.15"/>
    <row r="34" ht="20.25" customHeight="1" x14ac:dyDescent="0.15"/>
    <row r="35" ht="20.25" customHeight="1" x14ac:dyDescent="0.15"/>
    <row r="36" ht="20.25" customHeight="1" x14ac:dyDescent="0.15"/>
    <row r="37" ht="20.25" customHeight="1" x14ac:dyDescent="0.15"/>
    <row r="38" ht="20.25" customHeight="1" x14ac:dyDescent="0.15"/>
    <row r="39" ht="20.25" customHeight="1" x14ac:dyDescent="0.15"/>
    <row r="40" ht="20.2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D2D9-C90F-4E16-8C1A-CF6E573A93E2}">
  <sheetPr>
    <tabColor rgb="FFFFFF00"/>
  </sheetPr>
  <dimension ref="A1:D11"/>
  <sheetViews>
    <sheetView workbookViewId="0">
      <selection activeCell="F5" sqref="F5"/>
    </sheetView>
  </sheetViews>
  <sheetFormatPr baseColWidth="10" defaultColWidth="8.83203125" defaultRowHeight="20.25" customHeight="1" x14ac:dyDescent="0.2"/>
  <cols>
    <col min="1" max="1" width="24.5" bestFit="1" customWidth="1"/>
    <col min="2" max="4" width="11.83203125" bestFit="1" customWidth="1"/>
  </cols>
  <sheetData>
    <row r="1" spans="1:4" ht="20.25" customHeight="1" x14ac:dyDescent="0.2">
      <c r="A1" s="1" t="s">
        <v>15</v>
      </c>
      <c r="B1" s="1" t="s">
        <v>1</v>
      </c>
      <c r="C1" s="1" t="s">
        <v>2</v>
      </c>
      <c r="D1" s="1" t="s">
        <v>3</v>
      </c>
    </row>
    <row r="2" spans="1:4" ht="20.25" customHeight="1" x14ac:dyDescent="0.2">
      <c r="A2" s="2" t="s">
        <v>4</v>
      </c>
      <c r="B2" s="5">
        <v>11102600</v>
      </c>
      <c r="C2" s="5">
        <v>10588126</v>
      </c>
      <c r="D2" s="5">
        <v>9619278</v>
      </c>
    </row>
    <row r="3" spans="1:4" ht="20.25" customHeight="1" x14ac:dyDescent="0.2">
      <c r="A3" s="2" t="s">
        <v>6</v>
      </c>
      <c r="B3" s="5">
        <v>6284132</v>
      </c>
      <c r="C3" s="5">
        <v>6270811</v>
      </c>
      <c r="D3" s="5">
        <v>5609405</v>
      </c>
    </row>
    <row r="4" spans="1:4" ht="20.25" customHeight="1" x14ac:dyDescent="0.2">
      <c r="A4" s="2" t="s">
        <v>7</v>
      </c>
      <c r="B4" s="5">
        <v>2210615</v>
      </c>
      <c r="C4" s="5">
        <v>2505697</v>
      </c>
      <c r="D4" s="5">
        <v>2207177</v>
      </c>
    </row>
    <row r="5" spans="1:4" ht="20.25" customHeight="1" x14ac:dyDescent="0.2">
      <c r="A5" s="2" t="s">
        <v>8</v>
      </c>
      <c r="B5" s="5">
        <v>1579183</v>
      </c>
      <c r="C5" s="5">
        <v>1814616</v>
      </c>
      <c r="D5" s="5">
        <v>1550190</v>
      </c>
    </row>
    <row r="6" spans="1:4" ht="20.25" customHeight="1" x14ac:dyDescent="0.2">
      <c r="A6" s="2" t="s">
        <v>9</v>
      </c>
      <c r="B6" s="5">
        <v>28352</v>
      </c>
      <c r="C6" s="5">
        <v>70380</v>
      </c>
      <c r="D6" s="5">
        <v>-31442</v>
      </c>
    </row>
    <row r="7" spans="1:4" ht="20.25" customHeight="1" x14ac:dyDescent="0.2">
      <c r="A7" s="2" t="s">
        <v>10</v>
      </c>
      <c r="B7" s="5">
        <v>4262700</v>
      </c>
      <c r="C7" s="5">
        <v>3980302</v>
      </c>
      <c r="D7" s="5">
        <v>4060577</v>
      </c>
    </row>
    <row r="8" spans="1:4" ht="20.25" customHeight="1" x14ac:dyDescent="0.2">
      <c r="A8" s="2" t="s">
        <v>11</v>
      </c>
      <c r="B8" s="5">
        <v>8456743</v>
      </c>
      <c r="C8" s="5">
        <v>7603292</v>
      </c>
      <c r="D8" s="5">
        <v>7091941</v>
      </c>
    </row>
    <row r="9" spans="1:4" ht="20.25" customHeight="1" x14ac:dyDescent="0.2">
      <c r="A9" s="2" t="s">
        <v>12</v>
      </c>
      <c r="B9" s="5">
        <v>1888000</v>
      </c>
      <c r="C9" s="5">
        <v>1840000</v>
      </c>
      <c r="D9" s="5">
        <v>1631000</v>
      </c>
    </row>
    <row r="10" spans="1:4" ht="20.25" customHeight="1" x14ac:dyDescent="0.2">
      <c r="A10" s="4" t="s">
        <v>13</v>
      </c>
      <c r="B10" s="5">
        <v>3494903</v>
      </c>
      <c r="C10" s="5">
        <v>3279245</v>
      </c>
      <c r="D10" s="5">
        <v>2859860</v>
      </c>
    </row>
    <row r="11" spans="1:4" ht="20.25" customHeight="1" x14ac:dyDescent="0.2">
      <c r="A11" s="2" t="s">
        <v>14</v>
      </c>
      <c r="B11" s="5">
        <v>4961840</v>
      </c>
      <c r="C11" s="5">
        <v>4324047</v>
      </c>
      <c r="D11" s="5">
        <v>4232081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03EE-0E2E-4D07-BA84-81421FF5DB2C}">
  <sheetPr>
    <tabColor rgb="FFFF0000"/>
  </sheetPr>
  <dimension ref="A1:H6"/>
  <sheetViews>
    <sheetView workbookViewId="0">
      <selection activeCell="N10" sqref="N10"/>
    </sheetView>
  </sheetViews>
  <sheetFormatPr baseColWidth="10" defaultColWidth="8.83203125" defaultRowHeight="20.25" customHeight="1" x14ac:dyDescent="0.2"/>
  <cols>
    <col min="1" max="1" width="11.5" bestFit="1" customWidth="1"/>
    <col min="2" max="2" width="22.5" bestFit="1" customWidth="1"/>
    <col min="3" max="5" width="13.1640625" bestFit="1" customWidth="1"/>
    <col min="6" max="8" width="19" bestFit="1" customWidth="1"/>
  </cols>
  <sheetData>
    <row r="1" spans="1:8" ht="20.25" customHeigh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ht="20.25" customHeight="1" x14ac:dyDescent="0.2">
      <c r="A2" s="4" t="s">
        <v>24</v>
      </c>
      <c r="B2" s="4" t="s">
        <v>25</v>
      </c>
      <c r="C2" s="7">
        <f>'Nike Data'!B8/'Nike Data'!B10</f>
        <v>2.2110543251940187</v>
      </c>
      <c r="D2" s="7">
        <f>'Nike Data'!C8/'Nike Data'!C10</f>
        <v>2.3961106391012934</v>
      </c>
      <c r="E2" s="7">
        <f>'Nike Data'!D8/'Nike Data'!D10</f>
        <v>2.7227744165946413</v>
      </c>
      <c r="F2" s="7">
        <f>'Lulu Data'!B7/'Lulu Data'!B9</f>
        <v>2.2577860169491526</v>
      </c>
      <c r="G2" s="7">
        <f>'Lulu Data'!C7/'Lulu Data'!C9</f>
        <v>2.163207608695652</v>
      </c>
      <c r="H2" s="7">
        <f>'Lulu Data'!D7/'Lulu Data'!D9</f>
        <v>2.489624156958921</v>
      </c>
    </row>
    <row r="3" spans="1:8" ht="20.25" customHeight="1" x14ac:dyDescent="0.2">
      <c r="A3" s="4" t="s">
        <v>26</v>
      </c>
      <c r="B3" s="4" t="s">
        <v>27</v>
      </c>
      <c r="C3" s="6">
        <f>'Nike Data'!B4/'Nike Data'!B2</f>
        <v>0.42734673605562634</v>
      </c>
      <c r="D3" s="6">
        <f>'Nike Data'!C4/'Nike Data'!C2</f>
        <v>0.44560180678322497</v>
      </c>
      <c r="E3" s="6">
        <f>'Nike Data'!D4/'Nike Data'!D2</f>
        <v>0.43524610969014194</v>
      </c>
      <c r="F3" s="6">
        <f>'Lulu Data'!B3/'Lulu Data'!B2</f>
        <v>0.56600544016716803</v>
      </c>
      <c r="G3" s="6">
        <f>'Lulu Data'!C3/'Lulu Data'!C2</f>
        <v>0.59224937444076509</v>
      </c>
      <c r="H3" s="6">
        <f>'Lulu Data'!D3/'Lulu Data'!D2</f>
        <v>0.58314199880697903</v>
      </c>
    </row>
    <row r="4" spans="1:8" ht="20.25" customHeight="1" x14ac:dyDescent="0.2">
      <c r="A4" s="4" t="s">
        <v>26</v>
      </c>
      <c r="B4" s="4" t="s">
        <v>28</v>
      </c>
      <c r="C4" s="6">
        <f>'Nike Data'!B6/'Nike Data'!B12</f>
        <v>0.24362370392794974</v>
      </c>
      <c r="D4" s="6">
        <f>'Nike Data'!C6/'Nike Data'!C12</f>
        <v>0.39501039501039503</v>
      </c>
      <c r="E4" s="6">
        <f>'Nike Data'!D6/'Nike Data'!D12</f>
        <v>0.36203941730934019</v>
      </c>
      <c r="F4" s="6">
        <f>'Lulu Data'!B5/'Lulu Data'!B11</f>
        <v>0.31826560308272739</v>
      </c>
      <c r="G4" s="6">
        <f>'Lulu Data'!C5/'Lulu Data'!C11</f>
        <v>0.41965686311920292</v>
      </c>
      <c r="H4" s="6">
        <f>'Lulu Data'!D5/'Lulu Data'!D11</f>
        <v>0.36629497403286942</v>
      </c>
    </row>
    <row r="5" spans="1:8" ht="20.25" customHeight="1" x14ac:dyDescent="0.2">
      <c r="A5" s="4" t="s">
        <v>29</v>
      </c>
      <c r="B5" s="4" t="s">
        <v>30</v>
      </c>
      <c r="C5" s="7">
        <f>'Nike Data'!B11/'Nike Data'!B12</f>
        <v>1.7684098993415576</v>
      </c>
      <c r="D5" s="7">
        <f>'Nike Data'!C11/'Nike Data'!C12</f>
        <v>1.6534996534996536</v>
      </c>
      <c r="E5" s="7">
        <f>'Nike Data'!D11/'Nike Data'!D12</f>
        <v>1.6800199942873464</v>
      </c>
      <c r="F5" s="7">
        <f>'Lulu Data'!B10/'Lulu Data'!B11</f>
        <v>0.70435624687615883</v>
      </c>
      <c r="G5" s="7">
        <f>'Lulu Data'!C10/'Lulu Data'!C11</f>
        <v>0.75837404172526335</v>
      </c>
      <c r="H5" s="7">
        <f>'Lulu Data'!D10/'Lulu Data'!D11</f>
        <v>0.67575738744130842</v>
      </c>
    </row>
    <row r="6" spans="1:8" ht="20.25" customHeight="1" x14ac:dyDescent="0.2">
      <c r="A6" s="4" t="s">
        <v>31</v>
      </c>
      <c r="B6" s="4" t="s">
        <v>32</v>
      </c>
      <c r="C6" s="7">
        <f>'Nike Data'!B2/AVERAGE('Nike Data'!B9:D9)</f>
        <v>1.2444084162628426</v>
      </c>
      <c r="D6" s="7">
        <f>'Nike Data'!C2/AVERAGE('Nike Data'!B9:D9)</f>
        <v>1.3801918649958349</v>
      </c>
      <c r="E6" s="7">
        <f>'Nike Data'!D2/AVERAGE('Nike Data'!C9:E9)</f>
        <v>1.3646585489328822</v>
      </c>
      <c r="F6" s="7">
        <f>'Lulu Data'!B2/AVERAGE('Lulu Data'!B8:D8)</f>
        <v>1.4386590587343389</v>
      </c>
      <c r="G6" s="7">
        <f>'Lulu Data'!C2/AVERAGE('Lulu Data'!B8:D8)</f>
        <v>1.3719942522400681</v>
      </c>
      <c r="H6" s="7">
        <f>'Lulu Data'!D2/AVERAGE('Lulu Data'!C8:E8)</f>
        <v>1.3091698512027676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27C6-7E29-4B1B-B35D-9FD3B30EDE48}">
  <sheetPr>
    <tabColor theme="8"/>
  </sheetPr>
  <dimension ref="A1"/>
  <sheetViews>
    <sheetView workbookViewId="0">
      <selection activeCell="M6" sqref="M6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Nike Data</vt:lpstr>
      <vt:lpstr>Lulu Data</vt:lpstr>
      <vt:lpstr>Ratio Dashbaord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Chandler Mueller</cp:lastModifiedBy>
  <cp:revision/>
  <dcterms:created xsi:type="dcterms:W3CDTF">2026-09-11T01:19:22Z</dcterms:created>
  <dcterms:modified xsi:type="dcterms:W3CDTF">2026-09-23T03:26:08Z</dcterms:modified>
  <cp:category/>
  <cp:contentStatus/>
</cp:coreProperties>
</file>